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15345" windowHeight="4050"/>
  </bookViews>
  <sheets>
    <sheet name="Data" sheetId="1" r:id="rId1"/>
    <sheet name="Output" sheetId="2" r:id="rId2"/>
  </sheets>
  <definedNames>
    <definedName name="_xlnm._FilterDatabase" localSheetId="0" hidden="1">Data!$A$5:$S$15</definedName>
  </definedNames>
  <calcPr calcId="125725"/>
</workbook>
</file>

<file path=xl/calcChain.xml><?xml version="1.0" encoding="utf-8"?>
<calcChain xmlns="http://schemas.openxmlformats.org/spreadsheetml/2006/main">
  <c r="S11" i="1"/>
  <c r="Q11" s="1"/>
  <c r="S12"/>
  <c r="Q12" s="1"/>
  <c r="S13"/>
  <c r="Q13" s="1"/>
  <c r="S14"/>
  <c r="Q14" s="1"/>
  <c r="S15"/>
  <c r="Q15" s="1"/>
  <c r="M14"/>
  <c r="N14" s="1"/>
  <c r="L13"/>
  <c r="P13" s="1"/>
  <c r="L12"/>
  <c r="P12" s="1"/>
  <c r="S6"/>
  <c r="M6" s="1"/>
  <c r="S7"/>
  <c r="Q7" s="1"/>
  <c r="S8"/>
  <c r="Q8" s="1"/>
  <c r="S9"/>
  <c r="M9" s="1"/>
  <c r="S10"/>
  <c r="L10" s="1"/>
  <c r="P10" s="1"/>
  <c r="M7"/>
  <c r="N7" s="1"/>
  <c r="M10"/>
  <c r="M12" l="1"/>
  <c r="N12" s="1"/>
  <c r="O12" s="1"/>
  <c r="L14"/>
  <c r="P14" s="1"/>
  <c r="L11"/>
  <c r="P11" s="1"/>
  <c r="L15"/>
  <c r="P15" s="1"/>
  <c r="M11"/>
  <c r="N11" s="1"/>
  <c r="M13"/>
  <c r="N13" s="1"/>
  <c r="M15"/>
  <c r="N15" s="1"/>
  <c r="Q9"/>
  <c r="Q10"/>
  <c r="O14"/>
  <c r="Q6"/>
  <c r="L7"/>
  <c r="P7" s="1"/>
  <c r="L9"/>
  <c r="P9" s="1"/>
  <c r="L6"/>
  <c r="P6" s="1"/>
  <c r="N9"/>
  <c r="O9" s="1"/>
  <c r="N10"/>
  <c r="O10" s="1"/>
  <c r="N6"/>
  <c r="O6" s="1"/>
  <c r="O7"/>
  <c r="M8"/>
  <c r="N8" s="1"/>
  <c r="O8" s="1"/>
  <c r="L8"/>
  <c r="P8" s="1"/>
  <c r="O13" l="1"/>
  <c r="O15"/>
  <c r="O11"/>
</calcChain>
</file>

<file path=xl/sharedStrings.xml><?xml version="1.0" encoding="utf-8"?>
<sst xmlns="http://schemas.openxmlformats.org/spreadsheetml/2006/main" count="94" uniqueCount="38">
  <si>
    <t>Required</t>
  </si>
  <si>
    <t>Sold</t>
  </si>
  <si>
    <t>Available</t>
  </si>
  <si>
    <t>Transit</t>
  </si>
  <si>
    <t>Allocation 1</t>
  </si>
  <si>
    <t>Allocation 2</t>
  </si>
  <si>
    <t>Location Name</t>
  </si>
  <si>
    <t>Excess in allocation 1</t>
  </si>
  <si>
    <t>Excess in allocation 2</t>
  </si>
  <si>
    <t>1A04</t>
  </si>
  <si>
    <t>1A23</t>
  </si>
  <si>
    <t>AAA</t>
  </si>
  <si>
    <t>Madurai</t>
  </si>
  <si>
    <t>Deficit</t>
  </si>
  <si>
    <t>Excess</t>
  </si>
  <si>
    <t>Deficit in allocation</t>
  </si>
  <si>
    <t>Store Code</t>
  </si>
  <si>
    <t>Product</t>
  </si>
  <si>
    <t>Variant</t>
  </si>
  <si>
    <t>Pack</t>
  </si>
  <si>
    <t>Safety factor</t>
  </si>
  <si>
    <t>Days in a month</t>
  </si>
  <si>
    <t>1A24</t>
  </si>
  <si>
    <t>1A25</t>
  </si>
  <si>
    <t>To be maintained</t>
  </si>
  <si>
    <t>days in inventory</t>
  </si>
  <si>
    <t>1A05</t>
  </si>
  <si>
    <t>1A06</t>
  </si>
  <si>
    <t>1A07</t>
  </si>
  <si>
    <t>1A26</t>
  </si>
  <si>
    <t>1A27</t>
  </si>
  <si>
    <t>chennai</t>
  </si>
  <si>
    <t>trichy</t>
  </si>
  <si>
    <t>overallexcess</t>
  </si>
  <si>
    <t>zone</t>
  </si>
  <si>
    <t>A1</t>
  </si>
  <si>
    <t>ppp</t>
  </si>
  <si>
    <t>qqq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</si>
</sst>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9" fontId="0" fillId="0" borderId="0" xfId="0" applyNumberFormat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43"/>
  <sheetViews>
    <sheetView tabSelected="1" zoomScale="110" zoomScaleNormal="110" zoomScaleSheetLayoutView="50" workbookViewId="0">
      <selection activeCell="A5" sqref="A5"/>
    </sheetView>
  </sheetViews>
  <sheetFormatPr defaultRowHeight="15"/>
  <cols>
    <col min="4" max="4" width="11.5703125" customWidth="1"/>
    <col min="5" max="5" width="22.85546875" customWidth="1"/>
    <col min="6" max="6" width="11.7109375" customWidth="1"/>
    <col min="8" max="8" width="11" customWidth="1"/>
    <col min="10" max="10" width="14" customWidth="1"/>
    <col min="11" max="13" width="12.28515625" customWidth="1"/>
    <col min="14" max="14" width="19.7109375" customWidth="1"/>
    <col min="15" max="15" width="21" customWidth="1"/>
    <col min="16" max="16" width="24.42578125" customWidth="1"/>
    <col min="17" max="17" width="13" customWidth="1"/>
    <col min="19" max="19" width="16.42578125" customWidth="1"/>
    <col min="22" max="22" width="20.85546875" customWidth="1"/>
  </cols>
  <sheetData>
    <row r="1" spans="1:19">
      <c r="E1" t="s">
        <v>20</v>
      </c>
      <c r="F1" s="1">
        <v>0.2</v>
      </c>
    </row>
    <row r="2" spans="1:19">
      <c r="E2" t="s">
        <v>21</v>
      </c>
      <c r="F2">
        <v>30</v>
      </c>
    </row>
    <row r="3" spans="1:19">
      <c r="E3" t="s">
        <v>25</v>
      </c>
      <c r="F3">
        <v>25</v>
      </c>
    </row>
    <row r="5" spans="1:19">
      <c r="A5" t="s">
        <v>17</v>
      </c>
      <c r="B5" t="s">
        <v>18</v>
      </c>
      <c r="C5" t="s">
        <v>19</v>
      </c>
      <c r="D5" t="s">
        <v>16</v>
      </c>
      <c r="E5" t="s">
        <v>6</v>
      </c>
      <c r="F5" t="s">
        <v>0</v>
      </c>
      <c r="G5" t="s">
        <v>1</v>
      </c>
      <c r="H5" t="s">
        <v>2</v>
      </c>
      <c r="I5" t="s">
        <v>3</v>
      </c>
      <c r="J5" t="s">
        <v>4</v>
      </c>
      <c r="K5" t="s">
        <v>5</v>
      </c>
      <c r="L5" t="s">
        <v>13</v>
      </c>
      <c r="M5" t="s">
        <v>14</v>
      </c>
      <c r="N5" t="s">
        <v>7</v>
      </c>
      <c r="O5" t="s">
        <v>8</v>
      </c>
      <c r="P5" t="s">
        <v>15</v>
      </c>
      <c r="Q5" t="s">
        <v>33</v>
      </c>
      <c r="R5" t="s">
        <v>34</v>
      </c>
      <c r="S5" t="s">
        <v>24</v>
      </c>
    </row>
    <row r="6" spans="1:19">
      <c r="A6" t="s">
        <v>9</v>
      </c>
      <c r="B6" t="s">
        <v>10</v>
      </c>
      <c r="C6" t="s">
        <v>11</v>
      </c>
      <c r="D6">
        <v>1234</v>
      </c>
      <c r="E6" t="s">
        <v>12</v>
      </c>
      <c r="F6">
        <v>800</v>
      </c>
      <c r="G6">
        <v>100</v>
      </c>
      <c r="H6">
        <v>100</v>
      </c>
      <c r="I6">
        <v>200</v>
      </c>
      <c r="J6">
        <v>100</v>
      </c>
      <c r="K6">
        <v>900</v>
      </c>
      <c r="L6" s="2">
        <f>IF((SUM(Data!H6:'Data'!K6))&gt;Data!S6,0,(Data!S6-SUM(Data!H6:'Data'!K6)))</f>
        <v>0</v>
      </c>
      <c r="M6" s="2">
        <f>IF(SUM(Data!H6:'Data'!K6)&gt;Data!S6,(SUM(Data!H6:'Data'!K6))-Data!S6,0)</f>
        <v>500</v>
      </c>
      <c r="N6" s="2">
        <f>IF(Data!M6&gt;0,IF(Data!M6&gt;Data!J6,Data!J6,Data!M6),0)</f>
        <v>100</v>
      </c>
      <c r="O6" s="2">
        <f>Data!M6-Data!N6</f>
        <v>400</v>
      </c>
      <c r="P6" s="2">
        <f>Data!L6</f>
        <v>0</v>
      </c>
      <c r="Q6">
        <f>IF(((H6+I6+J6+K6)-S6)&gt;0,(H6+I6+J6+K6)-S6,0)</f>
        <v>500</v>
      </c>
      <c r="R6" t="s">
        <v>35</v>
      </c>
      <c r="S6">
        <f>(F6/$F$2)*(1+$F$1)*$F$3</f>
        <v>800</v>
      </c>
    </row>
    <row r="7" spans="1:19">
      <c r="A7" t="s">
        <v>9</v>
      </c>
      <c r="B7" t="s">
        <v>22</v>
      </c>
      <c r="C7" t="s">
        <v>11</v>
      </c>
      <c r="D7">
        <v>1234</v>
      </c>
      <c r="E7" t="s">
        <v>12</v>
      </c>
      <c r="F7">
        <v>800</v>
      </c>
      <c r="G7">
        <v>100</v>
      </c>
      <c r="H7">
        <v>100</v>
      </c>
      <c r="I7">
        <v>200</v>
      </c>
      <c r="J7">
        <v>500</v>
      </c>
      <c r="K7">
        <v>250</v>
      </c>
      <c r="L7" s="2">
        <f>IF((SUM(Data!H7:'Data'!K7))&gt;Data!S7,0,(Data!S7-SUM(Data!H7:'Data'!K7)))</f>
        <v>0</v>
      </c>
      <c r="M7" s="2">
        <f>IF(SUM(Data!H7:'Data'!K7)&gt;Data!S7,(SUM(Data!H7:'Data'!K7))-Data!S7,0)</f>
        <v>250</v>
      </c>
      <c r="N7" s="2">
        <f>IF(Data!M7&gt;0,IF(Data!M7&gt;Data!J7,Data!J7,Data!M7),0)</f>
        <v>250</v>
      </c>
      <c r="O7" s="2">
        <f>Data!M7-Data!N7</f>
        <v>0</v>
      </c>
      <c r="P7" s="2">
        <f>Data!L7</f>
        <v>0</v>
      </c>
      <c r="Q7">
        <f t="shared" ref="Q7:Q15" si="0">IF(((H7+I7+J7+K7)-S7)&gt;0,(H7+I7+J7+K7)-S7,0)</f>
        <v>250</v>
      </c>
      <c r="R7" t="s">
        <v>35</v>
      </c>
      <c r="S7">
        <f t="shared" ref="S7:S15" si="1">(F7/$F$2)*(1+$F$1)*$F$3</f>
        <v>800</v>
      </c>
    </row>
    <row r="8" spans="1:19">
      <c r="A8" t="s">
        <v>26</v>
      </c>
      <c r="B8" t="s">
        <v>23</v>
      </c>
      <c r="C8" t="s">
        <v>11</v>
      </c>
      <c r="D8">
        <v>1234</v>
      </c>
      <c r="E8" t="s">
        <v>12</v>
      </c>
      <c r="F8">
        <v>800</v>
      </c>
      <c r="G8">
        <v>100</v>
      </c>
      <c r="H8">
        <v>100</v>
      </c>
      <c r="I8">
        <v>200</v>
      </c>
      <c r="J8">
        <v>100</v>
      </c>
      <c r="K8">
        <v>200</v>
      </c>
      <c r="L8" s="2">
        <f>IF((SUM(Data!H8:'Data'!K8))&gt;Data!S8,0,(Data!S8-SUM(Data!H8:'Data'!K8)))</f>
        <v>200</v>
      </c>
      <c r="M8" s="2">
        <f>IF(SUM(Data!H8:'Data'!K8)&gt;Data!S8,(SUM(Data!H8:'Data'!K8))-Data!S8,0)</f>
        <v>0</v>
      </c>
      <c r="N8" s="2">
        <f>IF(Data!M8&gt;0,IF(Data!M8&gt;Data!J8,Data!J8,Data!M8),0)</f>
        <v>0</v>
      </c>
      <c r="O8" s="2">
        <f>Data!M8-Data!N8</f>
        <v>0</v>
      </c>
      <c r="P8" s="2">
        <f>Data!L8</f>
        <v>200</v>
      </c>
      <c r="Q8">
        <f t="shared" si="0"/>
        <v>0</v>
      </c>
      <c r="R8" t="s">
        <v>35</v>
      </c>
      <c r="S8">
        <f t="shared" si="1"/>
        <v>800</v>
      </c>
    </row>
    <row r="9" spans="1:19">
      <c r="A9" t="s">
        <v>27</v>
      </c>
      <c r="B9" t="s">
        <v>29</v>
      </c>
      <c r="C9" t="s">
        <v>11</v>
      </c>
      <c r="D9">
        <v>1235</v>
      </c>
      <c r="E9" t="s">
        <v>31</v>
      </c>
      <c r="F9">
        <v>1000</v>
      </c>
      <c r="G9">
        <v>300</v>
      </c>
      <c r="H9">
        <v>300</v>
      </c>
      <c r="I9">
        <v>1000</v>
      </c>
      <c r="J9">
        <v>500</v>
      </c>
      <c r="K9">
        <v>900</v>
      </c>
      <c r="L9" s="2">
        <f>IF((SUM(Data!H9:'Data'!K9))&gt;Data!S9,0,(Data!S9-SUM(Data!H9:'Data'!K9)))</f>
        <v>0</v>
      </c>
      <c r="M9" s="2">
        <f>IF(SUM(Data!H9:'Data'!K9)&gt;Data!S9,(SUM(Data!H9:'Data'!K9))-Data!S9,0)</f>
        <v>1700</v>
      </c>
      <c r="N9" s="2">
        <f>IF(Data!M9&gt;0,IF(Data!M9&gt;Data!J9,Data!J9,Data!M9),0)</f>
        <v>500</v>
      </c>
      <c r="O9" s="2">
        <f>Data!M9-Data!N9</f>
        <v>1200</v>
      </c>
      <c r="P9" s="2">
        <f>Data!L9</f>
        <v>0</v>
      </c>
      <c r="Q9">
        <f t="shared" si="0"/>
        <v>1700</v>
      </c>
      <c r="R9" t="s">
        <v>35</v>
      </c>
      <c r="S9">
        <f t="shared" si="1"/>
        <v>1000</v>
      </c>
    </row>
    <row r="10" spans="1:19">
      <c r="A10" t="s">
        <v>28</v>
      </c>
      <c r="B10" t="s">
        <v>30</v>
      </c>
      <c r="C10" t="s">
        <v>11</v>
      </c>
      <c r="D10">
        <v>1236</v>
      </c>
      <c r="E10" t="s">
        <v>32</v>
      </c>
      <c r="F10">
        <v>1500</v>
      </c>
      <c r="G10">
        <v>500</v>
      </c>
      <c r="H10">
        <v>500</v>
      </c>
      <c r="I10">
        <v>1500</v>
      </c>
      <c r="J10">
        <v>200</v>
      </c>
      <c r="K10">
        <v>250</v>
      </c>
      <c r="L10" s="2">
        <f>IF((SUM(Data!H10:'Data'!K10))&gt;Data!S10,0,(Data!S10-SUM(Data!H10:'Data'!K10)))</f>
        <v>0</v>
      </c>
      <c r="M10" s="2">
        <f>IF(SUM(Data!H10:'Data'!K10)&gt;Data!S10,(SUM(Data!H10:'Data'!K10))-Data!S10,0)</f>
        <v>950</v>
      </c>
      <c r="N10" s="2">
        <f>IF(Data!M10&gt;0,IF(Data!M10&gt;Data!J10,Data!J10,Data!M10),0)</f>
        <v>200</v>
      </c>
      <c r="O10" s="2">
        <f>Data!M10-Data!N10</f>
        <v>750</v>
      </c>
      <c r="P10" s="2">
        <f>Data!L10</f>
        <v>0</v>
      </c>
      <c r="Q10">
        <f t="shared" si="0"/>
        <v>950</v>
      </c>
      <c r="R10" t="s">
        <v>35</v>
      </c>
      <c r="S10">
        <f t="shared" si="1"/>
        <v>1500</v>
      </c>
    </row>
    <row r="11" spans="1:19">
      <c r="A11" t="s">
        <v>9</v>
      </c>
      <c r="B11" t="s">
        <v>10</v>
      </c>
      <c r="C11" t="s">
        <v>36</v>
      </c>
      <c r="D11">
        <v>1234</v>
      </c>
      <c r="E11" t="s">
        <v>12</v>
      </c>
      <c r="F11">
        <v>800</v>
      </c>
      <c r="G11">
        <v>100</v>
      </c>
      <c r="H11">
        <v>100</v>
      </c>
      <c r="I11">
        <v>200</v>
      </c>
      <c r="J11">
        <v>100</v>
      </c>
      <c r="K11">
        <v>900</v>
      </c>
      <c r="L11" s="2">
        <f>IF((SUM(Data!H11:'Data'!K11))&gt;Data!S11,0,(Data!S11-SUM(Data!H11:'Data'!K11)))</f>
        <v>0</v>
      </c>
      <c r="M11" s="2">
        <f>IF(SUM(Data!H11:'Data'!K11)&gt;Data!S11,(SUM(Data!H11:'Data'!K11))-Data!S11,0)</f>
        <v>500</v>
      </c>
      <c r="N11" s="2">
        <f>IF(Data!M11&gt;0,IF(Data!M11&gt;Data!J11,Data!J11,Data!M11),0)</f>
        <v>100</v>
      </c>
      <c r="O11" s="2">
        <f>Data!M11-Data!N11</f>
        <v>400</v>
      </c>
      <c r="P11" s="2">
        <f>Data!L11</f>
        <v>0</v>
      </c>
      <c r="Q11">
        <f t="shared" si="0"/>
        <v>500</v>
      </c>
      <c r="R11" t="s">
        <v>35</v>
      </c>
      <c r="S11">
        <f t="shared" si="1"/>
        <v>800</v>
      </c>
    </row>
    <row r="12" spans="1:19">
      <c r="A12" t="s">
        <v>9</v>
      </c>
      <c r="B12" t="s">
        <v>22</v>
      </c>
      <c r="C12" t="s">
        <v>36</v>
      </c>
      <c r="D12">
        <v>1234</v>
      </c>
      <c r="E12" t="s">
        <v>12</v>
      </c>
      <c r="F12">
        <v>800</v>
      </c>
      <c r="G12">
        <v>100</v>
      </c>
      <c r="H12">
        <v>100</v>
      </c>
      <c r="I12">
        <v>200</v>
      </c>
      <c r="J12">
        <v>500</v>
      </c>
      <c r="K12">
        <v>250</v>
      </c>
      <c r="L12" s="2">
        <f>IF((SUM(Data!H12:'Data'!K12))&gt;Data!S12,0,(Data!S12-SUM(Data!H12:'Data'!K12)))</f>
        <v>0</v>
      </c>
      <c r="M12" s="2">
        <f>IF(SUM(Data!H12:'Data'!K12)&gt;Data!S12,(SUM(Data!H12:'Data'!K12))-Data!S12,0)</f>
        <v>250</v>
      </c>
      <c r="N12" s="2">
        <f>IF(Data!M12&gt;0,IF(Data!M12&gt;Data!J12,Data!J12,Data!M12),0)</f>
        <v>250</v>
      </c>
      <c r="O12" s="2">
        <f>Data!M12-Data!N12</f>
        <v>0</v>
      </c>
      <c r="P12" s="2">
        <f>Data!L12</f>
        <v>0</v>
      </c>
      <c r="Q12">
        <f t="shared" si="0"/>
        <v>250</v>
      </c>
      <c r="R12" t="s">
        <v>35</v>
      </c>
      <c r="S12">
        <f t="shared" si="1"/>
        <v>800</v>
      </c>
    </row>
    <row r="13" spans="1:19">
      <c r="A13" t="s">
        <v>26</v>
      </c>
      <c r="B13" t="s">
        <v>23</v>
      </c>
      <c r="C13" t="s">
        <v>37</v>
      </c>
      <c r="D13">
        <v>1234</v>
      </c>
      <c r="E13" t="s">
        <v>12</v>
      </c>
      <c r="F13">
        <v>800</v>
      </c>
      <c r="G13">
        <v>100</v>
      </c>
      <c r="H13">
        <v>100</v>
      </c>
      <c r="I13">
        <v>200</v>
      </c>
      <c r="J13">
        <v>100</v>
      </c>
      <c r="K13">
        <v>200</v>
      </c>
      <c r="L13" s="2">
        <f>IF((SUM(Data!H13:'Data'!K13))&gt;Data!S13,0,(Data!S13-SUM(Data!H13:'Data'!K13)))</f>
        <v>200</v>
      </c>
      <c r="M13" s="2">
        <f>IF(SUM(Data!H13:'Data'!K13)&gt;Data!S13,(SUM(Data!H13:'Data'!K13))-Data!S13,0)</f>
        <v>0</v>
      </c>
      <c r="N13" s="2">
        <f>IF(Data!M13&gt;0,IF(Data!M13&gt;Data!J13,Data!J13,Data!M13),0)</f>
        <v>0</v>
      </c>
      <c r="O13" s="2">
        <f>Data!M13-Data!N13</f>
        <v>0</v>
      </c>
      <c r="P13" s="2">
        <f>Data!L13</f>
        <v>200</v>
      </c>
      <c r="Q13">
        <f t="shared" si="0"/>
        <v>0</v>
      </c>
      <c r="R13" t="s">
        <v>35</v>
      </c>
      <c r="S13">
        <f t="shared" si="1"/>
        <v>800</v>
      </c>
    </row>
    <row r="14" spans="1:19">
      <c r="A14" t="s">
        <v>27</v>
      </c>
      <c r="B14" t="s">
        <v>29</v>
      </c>
      <c r="C14" t="s">
        <v>11</v>
      </c>
      <c r="D14">
        <v>1235</v>
      </c>
      <c r="E14" t="s">
        <v>31</v>
      </c>
      <c r="F14">
        <v>1000</v>
      </c>
      <c r="G14">
        <v>300</v>
      </c>
      <c r="H14">
        <v>300</v>
      </c>
      <c r="I14">
        <v>1000</v>
      </c>
      <c r="J14">
        <v>500</v>
      </c>
      <c r="K14">
        <v>900</v>
      </c>
      <c r="L14" s="2">
        <f>IF((SUM(Data!H14:'Data'!K14))&gt;Data!S14,0,(Data!S14-SUM(Data!H14:'Data'!K14)))</f>
        <v>0</v>
      </c>
      <c r="M14" s="2">
        <f>IF(SUM(Data!H14:'Data'!K14)&gt;Data!S14,(SUM(Data!H14:'Data'!K14))-Data!S14,0)</f>
        <v>1700</v>
      </c>
      <c r="N14" s="2">
        <f>IF(Data!M14&gt;0,IF(Data!M14&gt;Data!J14,Data!J14,Data!M14),0)</f>
        <v>500</v>
      </c>
      <c r="O14" s="2">
        <f>Data!M14-Data!N14</f>
        <v>1200</v>
      </c>
      <c r="P14" s="2">
        <f>Data!L14</f>
        <v>0</v>
      </c>
      <c r="Q14">
        <f t="shared" si="0"/>
        <v>1700</v>
      </c>
      <c r="R14" t="s">
        <v>35</v>
      </c>
      <c r="S14">
        <f t="shared" si="1"/>
        <v>1000</v>
      </c>
    </row>
    <row r="15" spans="1:19">
      <c r="A15" t="s">
        <v>28</v>
      </c>
      <c r="B15" t="s">
        <v>30</v>
      </c>
      <c r="C15" t="s">
        <v>11</v>
      </c>
      <c r="D15">
        <v>1236</v>
      </c>
      <c r="E15" t="s">
        <v>32</v>
      </c>
      <c r="F15">
        <v>1500</v>
      </c>
      <c r="G15">
        <v>500</v>
      </c>
      <c r="H15">
        <v>500</v>
      </c>
      <c r="I15">
        <v>1500</v>
      </c>
      <c r="J15">
        <v>200</v>
      </c>
      <c r="K15">
        <v>250</v>
      </c>
      <c r="L15" s="2">
        <f>IF((SUM(Data!H15:'Data'!K15))&gt;Data!S15,0,(Data!S15-SUM(Data!H15:'Data'!K15)))</f>
        <v>0</v>
      </c>
      <c r="M15" s="2">
        <f>IF(SUM(Data!H15:'Data'!K15)&gt;Data!S15,(SUM(Data!H15:'Data'!K15))-Data!S15,0)</f>
        <v>950</v>
      </c>
      <c r="N15" s="2">
        <f>IF(Data!M15&gt;0,IF(Data!M15&gt;Data!J15,Data!J15,Data!M15),0)</f>
        <v>200</v>
      </c>
      <c r="O15" s="2">
        <f>Data!M15-Data!N15</f>
        <v>750</v>
      </c>
      <c r="P15" s="2">
        <f>Data!L15</f>
        <v>0</v>
      </c>
      <c r="Q15">
        <f t="shared" si="0"/>
        <v>950</v>
      </c>
      <c r="R15" t="s">
        <v>35</v>
      </c>
      <c r="S15">
        <f t="shared" si="1"/>
        <v>1500</v>
      </c>
    </row>
    <row r="16" spans="1:19">
      <c r="L16" s="2"/>
      <c r="M16" s="2"/>
      <c r="N16" s="2"/>
      <c r="O16" s="2"/>
      <c r="P16" s="2"/>
    </row>
    <row r="17" spans="12:16">
      <c r="L17" s="2"/>
      <c r="M17" s="2"/>
      <c r="N17" s="2"/>
      <c r="O17" s="2"/>
      <c r="P17" s="2"/>
    </row>
    <row r="18" spans="12:16">
      <c r="L18" s="2"/>
      <c r="M18" s="2"/>
      <c r="N18" s="2"/>
      <c r="O18" s="2"/>
      <c r="P18" s="2"/>
    </row>
    <row r="19" spans="12:16">
      <c r="L19" s="2"/>
      <c r="M19" s="2"/>
      <c r="N19" s="2"/>
      <c r="O19" s="2"/>
      <c r="P19" s="2"/>
    </row>
    <row r="20" spans="12:16">
      <c r="L20" s="2"/>
      <c r="M20" s="2"/>
      <c r="N20" s="2"/>
      <c r="O20" s="2"/>
      <c r="P20" s="2"/>
    </row>
    <row r="21" spans="12:16">
      <c r="L21" s="2"/>
      <c r="M21" s="2"/>
      <c r="N21" s="2"/>
      <c r="O21" s="2"/>
      <c r="P21" s="2"/>
    </row>
    <row r="22" spans="12:16">
      <c r="L22" s="2"/>
      <c r="M22" s="2"/>
      <c r="N22" s="2"/>
      <c r="O22" s="2"/>
      <c r="P22" s="2"/>
    </row>
    <row r="23" spans="12:16">
      <c r="L23" s="2"/>
      <c r="M23" s="2"/>
      <c r="N23" s="2"/>
      <c r="O23" s="2"/>
      <c r="P23" s="2"/>
    </row>
    <row r="24" spans="12:16">
      <c r="L24" s="2"/>
      <c r="M24" s="2"/>
      <c r="N24" s="2"/>
      <c r="O24" s="2"/>
      <c r="P24" s="2"/>
    </row>
    <row r="25" spans="12:16">
      <c r="L25" s="2"/>
      <c r="M25" s="2"/>
      <c r="N25" s="2"/>
      <c r="O25" s="2"/>
      <c r="P25" s="2"/>
    </row>
    <row r="26" spans="12:16">
      <c r="L26" s="2"/>
      <c r="M26" s="2"/>
      <c r="N26" s="2"/>
      <c r="O26" s="2"/>
      <c r="P26" s="2"/>
    </row>
    <row r="27" spans="12:16">
      <c r="L27" s="2"/>
      <c r="M27" s="2"/>
      <c r="N27" s="2"/>
      <c r="O27" s="2"/>
      <c r="P27" s="2"/>
    </row>
    <row r="28" spans="12:16">
      <c r="L28" s="2"/>
      <c r="M28" s="2"/>
      <c r="N28" s="2"/>
      <c r="O28" s="2"/>
      <c r="P28" s="2"/>
    </row>
    <row r="29" spans="12:16">
      <c r="L29" s="2"/>
      <c r="M29" s="2"/>
      <c r="N29" s="2"/>
      <c r="O29" s="2"/>
      <c r="P29" s="2"/>
    </row>
    <row r="30" spans="12:16">
      <c r="L30" s="2"/>
      <c r="M30" s="2"/>
      <c r="N30" s="2"/>
      <c r="O30" s="2"/>
      <c r="P30" s="2"/>
    </row>
    <row r="31" spans="12:16">
      <c r="L31" s="2"/>
      <c r="M31" s="2"/>
      <c r="N31" s="2"/>
      <c r="O31" s="2"/>
      <c r="P31" s="2"/>
    </row>
    <row r="32" spans="12:16">
      <c r="L32" s="2"/>
      <c r="M32" s="2"/>
      <c r="N32" s="2"/>
      <c r="O32" s="2"/>
      <c r="P32" s="2"/>
    </row>
    <row r="33" spans="12:16">
      <c r="L33" s="2"/>
      <c r="M33" s="2"/>
      <c r="N33" s="2"/>
      <c r="O33" s="2"/>
      <c r="P33" s="2"/>
    </row>
    <row r="34" spans="12:16">
      <c r="L34" s="2"/>
      <c r="M34" s="2"/>
      <c r="N34" s="2"/>
      <c r="O34" s="2"/>
      <c r="P34" s="2"/>
    </row>
    <row r="35" spans="12:16">
      <c r="L35" s="2"/>
      <c r="M35" s="2"/>
      <c r="N35" s="2"/>
      <c r="O35" s="2"/>
      <c r="P35" s="2"/>
    </row>
    <row r="36" spans="12:16">
      <c r="L36" s="2"/>
      <c r="M36" s="2"/>
      <c r="N36" s="2"/>
      <c r="O36" s="2"/>
      <c r="P36" s="2"/>
    </row>
    <row r="37" spans="12:16">
      <c r="L37" s="2"/>
      <c r="M37" s="2"/>
      <c r="N37" s="2"/>
      <c r="O37" s="2"/>
      <c r="P37" s="2"/>
    </row>
    <row r="38" spans="12:16">
      <c r="L38" s="2"/>
      <c r="M38" s="2"/>
      <c r="N38" s="2"/>
      <c r="O38" s="2"/>
      <c r="P38" s="2"/>
    </row>
    <row r="39" spans="12:16">
      <c r="L39" s="2"/>
      <c r="M39" s="2"/>
      <c r="N39" s="2"/>
      <c r="O39" s="2"/>
      <c r="P39" s="2"/>
    </row>
    <row r="40" spans="12:16">
      <c r="L40" s="2"/>
      <c r="M40" s="2"/>
      <c r="N40" s="2"/>
      <c r="O40" s="2"/>
      <c r="P40" s="2"/>
    </row>
    <row r="41" spans="12:16">
      <c r="L41" s="2"/>
      <c r="M41" s="2"/>
      <c r="N41" s="2"/>
      <c r="O41" s="2"/>
      <c r="P41" s="2"/>
    </row>
    <row r="42" spans="12:16">
      <c r="L42" s="2"/>
      <c r="M42" s="2"/>
      <c r="N42" s="2"/>
      <c r="O42" s="2"/>
      <c r="P42" s="2"/>
    </row>
    <row r="43" spans="12:16">
      <c r="L43" s="2"/>
      <c r="M43" s="2"/>
      <c r="N43" s="2"/>
      <c r="O43" s="2"/>
      <c r="P43" s="2"/>
    </row>
  </sheetData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2:L19"/>
  <sheetViews>
    <sheetView workbookViewId="0">
      <selection activeCell="D16" sqref="D16"/>
    </sheetView>
  </sheetViews>
  <sheetFormatPr defaultRowHeight="15"/>
  <cols>
    <col min="1" max="1" width="15.7109375" customWidth="1"/>
    <col min="2" max="2" width="20.140625" customWidth="1"/>
    <col min="3" max="3" width="15.42578125" customWidth="1"/>
    <col min="4" max="4" width="24.28515625" customWidth="1"/>
    <col min="5" max="5" width="25.42578125" customWidth="1"/>
    <col min="6" max="6" width="14.42578125" customWidth="1"/>
    <col min="12" max="12" width="20.7109375" customWidth="1"/>
  </cols>
  <sheetData>
    <row r="2" spans="1:12">
      <c r="A2" t="s">
        <v>17</v>
      </c>
      <c r="B2" t="s">
        <v>9</v>
      </c>
      <c r="L2" t="s">
        <v>16</v>
      </c>
    </row>
    <row r="3" spans="1:12">
      <c r="A3" t="s">
        <v>18</v>
      </c>
      <c r="B3" t="s">
        <v>22</v>
      </c>
      <c r="L3" t="s">
        <v>6</v>
      </c>
    </row>
    <row r="4" spans="1:12">
      <c r="A4" t="s">
        <v>19</v>
      </c>
      <c r="B4" t="s">
        <v>36</v>
      </c>
      <c r="L4" t="s">
        <v>13</v>
      </c>
    </row>
    <row r="5" spans="1:12">
      <c r="L5" t="s">
        <v>7</v>
      </c>
    </row>
    <row r="6" spans="1:12">
      <c r="L6" t="s">
        <v>8</v>
      </c>
    </row>
    <row r="7" spans="1:12">
      <c r="L7" t="s">
        <v>33</v>
      </c>
    </row>
    <row r="8" spans="1:12">
      <c r="A8" t="s">
        <v>16</v>
      </c>
      <c r="B8" t="s">
        <v>6</v>
      </c>
      <c r="C8" t="s">
        <v>13</v>
      </c>
      <c r="D8" t="s">
        <v>7</v>
      </c>
      <c r="E8" t="s">
        <v>8</v>
      </c>
      <c r="F8" t="s">
        <v>33</v>
      </c>
      <c r="G8" t="s">
        <v>34</v>
      </c>
      <c r="L8" t="s">
        <v>34</v>
      </c>
    </row>
    <row r="9" spans="1:12">
      <c r="A9">
        <v>1234</v>
      </c>
      <c r="B9" t="s">
        <v>12</v>
      </c>
      <c r="C9" s="2">
        <v>0</v>
      </c>
      <c r="D9" s="2">
        <v>250</v>
      </c>
      <c r="E9" s="2">
        <v>0</v>
      </c>
      <c r="F9">
        <v>250</v>
      </c>
      <c r="G9" t="s">
        <v>35</v>
      </c>
    </row>
    <row r="17" ht="9.75" customHeight="1"/>
    <row r="18" hidden="1"/>
    <row r="19" hidden="1"/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Output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Karunambigai Narmadha</dc:creator>
  <cp:lastModifiedBy>ha ha</cp:lastModifiedBy>
  <dcterms:created xsi:type="dcterms:W3CDTF">2020-08-06T11:28:50Z</dcterms:created>
  <dcterms:modified xsi:type="dcterms:W3CDTF">2020-09-04T17:44:07Z</dcterms:modified>
</cp:coreProperties>
</file>