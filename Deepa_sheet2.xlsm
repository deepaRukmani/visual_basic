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20" yWindow="-120" windowWidth="20730" windowHeight="11160" activeTab="1"/>
  </bookViews>
  <sheets>
    <sheet name="Base" sheetId="1" r:id="rId1"/>
    <sheet name="Coverup" sheetId="2" r:id="rId2"/>
  </sheets>
  <definedNames>
    <definedName name="_xlnm._FilterDatabase" localSheetId="0" hidden="1">Base!$A$6:$N$25</definedName>
  </definedNames>
  <calcPr calcId="125725"/>
  <fileRecoveryPr repairLoad="1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0" i="1"/>
  <c r="L7"/>
  <c r="N7" s="1"/>
  <c r="L25"/>
  <c r="N25" s="1"/>
  <c r="K25"/>
  <c r="K24"/>
  <c r="L24"/>
  <c r="N24" s="1"/>
  <c r="K23"/>
  <c r="L23"/>
  <c r="N23" s="1"/>
  <c r="K22"/>
  <c r="L22"/>
  <c r="N22" s="1"/>
  <c r="K21"/>
  <c r="L21"/>
  <c r="N21" s="1"/>
  <c r="K20"/>
  <c r="L20"/>
  <c r="N20" s="1"/>
  <c r="K19"/>
  <c r="L19"/>
  <c r="N19" s="1"/>
  <c r="K18"/>
  <c r="L18"/>
  <c r="N18" s="1"/>
  <c r="K17"/>
  <c r="L17"/>
  <c r="N17" s="1"/>
  <c r="K16"/>
  <c r="L16"/>
  <c r="N16" s="1"/>
  <c r="L8"/>
  <c r="N8" s="1"/>
  <c r="L9"/>
  <c r="N9" s="1"/>
  <c r="N10"/>
  <c r="L11"/>
  <c r="N11" s="1"/>
  <c r="L12"/>
  <c r="N12" s="1"/>
  <c r="L13"/>
  <c r="N13" s="1"/>
  <c r="L14"/>
  <c r="N14" s="1"/>
  <c r="L15"/>
  <c r="N15" s="1"/>
  <c r="K7"/>
  <c r="K8"/>
  <c r="K9"/>
  <c r="K10"/>
  <c r="K11"/>
  <c r="K12"/>
  <c r="K13"/>
  <c r="K14"/>
  <c r="K15"/>
  <c r="G2" i="2" l="1"/>
  <c r="G3"/>
  <c r="G4"/>
</calcChain>
</file>

<file path=xl/sharedStrings.xml><?xml version="1.0" encoding="utf-8"?>
<sst xmlns="http://schemas.openxmlformats.org/spreadsheetml/2006/main" count="118" uniqueCount="31">
  <si>
    <t>Store Code</t>
  </si>
  <si>
    <t>Product</t>
  </si>
  <si>
    <t>Variant</t>
  </si>
  <si>
    <t>Pack Size</t>
  </si>
  <si>
    <t>Required</t>
  </si>
  <si>
    <t>To be maintained</t>
  </si>
  <si>
    <t>Sold</t>
  </si>
  <si>
    <t>Available</t>
  </si>
  <si>
    <t>Transit</t>
  </si>
  <si>
    <t>Allocation 1</t>
  </si>
  <si>
    <t>Allocation 2</t>
  </si>
  <si>
    <t>Safety factor</t>
  </si>
  <si>
    <t>Days in a month</t>
  </si>
  <si>
    <t>Days in inventory</t>
  </si>
  <si>
    <t>Final Shortage</t>
  </si>
  <si>
    <t>Coverup</t>
  </si>
  <si>
    <t>1A16</t>
  </si>
  <si>
    <t>1A38</t>
  </si>
  <si>
    <t>BBB</t>
  </si>
  <si>
    <t>123A</t>
  </si>
  <si>
    <t>124A</t>
  </si>
  <si>
    <t>125A</t>
  </si>
  <si>
    <t>AAA</t>
  </si>
  <si>
    <t>Cover 1</t>
  </si>
  <si>
    <t>Cover 2</t>
  </si>
  <si>
    <t>Cover 3</t>
  </si>
  <si>
    <t>shortage</t>
  </si>
  <si>
    <t>ppp</t>
  </si>
  <si>
    <t>1A17</t>
  </si>
  <si>
    <t>coverup posible</t>
  </si>
  <si>
    <t>1A39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</si>
</sst>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0" fontId="0" fillId="0" borderId="0" xfId="0"/>
    <xf numFmtId="9" fontId="0" fillId="0" borderId="0" xfId="0" applyNumberFormat="1"/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40"/>
  <sheetViews>
    <sheetView topLeftCell="G1" zoomScale="120" zoomScaleNormal="120" workbookViewId="0">
      <selection activeCell="M23" sqref="M23"/>
    </sheetView>
  </sheetViews>
  <sheetFormatPr defaultRowHeight="15"/>
  <cols>
    <col min="1" max="1" width="13" customWidth="1"/>
    <col min="3" max="3" width="17.7109375" customWidth="1"/>
    <col min="6" max="6" width="9.7109375" customWidth="1"/>
    <col min="9" max="10" width="14.85546875" customWidth="1"/>
    <col min="11" max="11" width="17.28515625" customWidth="1"/>
    <col min="13" max="13" width="19.28515625" style="4" customWidth="1"/>
    <col min="14" max="14" width="14.5703125" customWidth="1"/>
    <col min="15" max="15" width="9.140625" style="4"/>
    <col min="19" max="19" width="9.140625" style="4"/>
    <col min="22" max="22" width="14.5703125" customWidth="1"/>
    <col min="25" max="25" width="13.7109375" customWidth="1"/>
  </cols>
  <sheetData>
    <row r="1" spans="1:25" s="1" customFormat="1">
      <c r="C1" s="2" t="s">
        <v>11</v>
      </c>
      <c r="D1" s="3">
        <v>0.2</v>
      </c>
      <c r="M1" s="4"/>
      <c r="O1" s="4"/>
      <c r="S1" s="4"/>
    </row>
    <row r="2" spans="1:25">
      <c r="C2" s="2" t="s">
        <v>12</v>
      </c>
      <c r="D2" s="2">
        <v>30</v>
      </c>
      <c r="G2" s="4"/>
      <c r="U2" s="4"/>
      <c r="V2" s="4"/>
    </row>
    <row r="3" spans="1:25">
      <c r="C3" s="2" t="s">
        <v>13</v>
      </c>
      <c r="D3" s="2">
        <v>30</v>
      </c>
    </row>
    <row r="6" spans="1:25">
      <c r="A6" t="s">
        <v>0</v>
      </c>
      <c r="B6" t="s">
        <v>1</v>
      </c>
      <c r="C6" t="s">
        <v>2</v>
      </c>
      <c r="D6" t="s">
        <v>3</v>
      </c>
      <c r="E6" t="s">
        <v>4</v>
      </c>
      <c r="F6" s="1" t="s">
        <v>6</v>
      </c>
      <c r="G6" s="1" t="s">
        <v>7</v>
      </c>
      <c r="H6" s="1" t="s">
        <v>8</v>
      </c>
      <c r="I6" s="1" t="s">
        <v>9</v>
      </c>
      <c r="J6" s="1" t="s">
        <v>10</v>
      </c>
      <c r="K6" s="5" t="s">
        <v>5</v>
      </c>
      <c r="L6" s="5" t="s">
        <v>26</v>
      </c>
      <c r="M6" s="5" t="s">
        <v>29</v>
      </c>
      <c r="N6" s="5" t="s">
        <v>14</v>
      </c>
      <c r="O6" s="5"/>
      <c r="Y6" s="4"/>
    </row>
    <row r="7" spans="1:25">
      <c r="A7" t="s">
        <v>19</v>
      </c>
      <c r="B7" s="4" t="s">
        <v>16</v>
      </c>
      <c r="C7" s="4" t="s">
        <v>17</v>
      </c>
      <c r="D7" s="4" t="s">
        <v>27</v>
      </c>
      <c r="E7" s="4">
        <v>1000</v>
      </c>
      <c r="F7" s="4">
        <v>200</v>
      </c>
      <c r="G7" s="4">
        <v>500</v>
      </c>
      <c r="H7" s="4">
        <v>50</v>
      </c>
      <c r="I7" s="4">
        <v>400</v>
      </c>
      <c r="J7" s="4">
        <v>300</v>
      </c>
      <c r="K7">
        <f>(E7/$D$2)*(1+$D$1)*$D$3</f>
        <v>1200</v>
      </c>
      <c r="L7" s="4">
        <f t="shared" ref="L7:L30" si="0">(E7/$D$2)*(1+$D$1)*$D$3</f>
        <v>1200</v>
      </c>
      <c r="M7" s="4">
        <v>540</v>
      </c>
      <c r="N7" s="4">
        <f>IF(L7-M7&gt;0,L7-M7,0)</f>
        <v>660</v>
      </c>
      <c r="Q7" s="4"/>
      <c r="W7" s="4"/>
      <c r="X7" s="4"/>
      <c r="Y7" s="4"/>
    </row>
    <row r="8" spans="1:25">
      <c r="A8" t="s">
        <v>20</v>
      </c>
      <c r="B8" s="4" t="s">
        <v>16</v>
      </c>
      <c r="C8" s="4" t="s">
        <v>17</v>
      </c>
      <c r="D8" s="4" t="s">
        <v>22</v>
      </c>
      <c r="E8" s="4">
        <v>800</v>
      </c>
      <c r="F8" s="4">
        <v>200</v>
      </c>
      <c r="G8" s="4">
        <v>500</v>
      </c>
      <c r="H8" s="4">
        <v>50</v>
      </c>
      <c r="I8" s="4">
        <v>400</v>
      </c>
      <c r="J8" s="4">
        <v>300</v>
      </c>
      <c r="K8" s="4">
        <f t="shared" ref="K8:K30" si="1">(E8/$D$2)*(1+$D$1)*$D$3</f>
        <v>960</v>
      </c>
      <c r="L8" s="4">
        <f t="shared" si="0"/>
        <v>960</v>
      </c>
      <c r="M8" s="4">
        <v>148</v>
      </c>
      <c r="N8" s="4">
        <f t="shared" ref="N8:N39" si="2">IF(L8-M8&gt;0,L8-M8,0)</f>
        <v>812</v>
      </c>
      <c r="Q8" s="4"/>
      <c r="W8" s="4"/>
    </row>
    <row r="9" spans="1:25">
      <c r="A9" t="s">
        <v>21</v>
      </c>
      <c r="B9" s="4" t="s">
        <v>16</v>
      </c>
      <c r="C9" s="4" t="s">
        <v>17</v>
      </c>
      <c r="D9" s="4" t="s">
        <v>27</v>
      </c>
      <c r="E9" s="4">
        <v>1500</v>
      </c>
      <c r="F9" s="4">
        <v>200</v>
      </c>
      <c r="G9" s="4">
        <v>500</v>
      </c>
      <c r="H9" s="4">
        <v>50</v>
      </c>
      <c r="I9" s="4">
        <v>400</v>
      </c>
      <c r="J9" s="4">
        <v>300</v>
      </c>
      <c r="K9" s="4">
        <f t="shared" si="1"/>
        <v>1800</v>
      </c>
      <c r="L9" s="4">
        <f t="shared" si="0"/>
        <v>1800</v>
      </c>
      <c r="M9" s="4">
        <v>810</v>
      </c>
      <c r="N9" s="4">
        <f t="shared" si="2"/>
        <v>990</v>
      </c>
      <c r="Q9" s="4"/>
      <c r="W9" s="4"/>
    </row>
    <row r="10" spans="1:25">
      <c r="A10" s="4" t="s">
        <v>19</v>
      </c>
      <c r="B10" s="4" t="s">
        <v>16</v>
      </c>
      <c r="C10" s="4" t="s">
        <v>17</v>
      </c>
      <c r="D10" s="4" t="s">
        <v>22</v>
      </c>
      <c r="E10">
        <v>1800</v>
      </c>
      <c r="F10" s="4">
        <v>200</v>
      </c>
      <c r="G10" s="4">
        <v>500</v>
      </c>
      <c r="H10" s="4">
        <v>50</v>
      </c>
      <c r="I10" s="4">
        <v>400</v>
      </c>
      <c r="J10" s="4">
        <v>300</v>
      </c>
      <c r="K10" s="4">
        <f t="shared" si="1"/>
        <v>2160</v>
      </c>
      <c r="L10" s="4">
        <f t="shared" si="0"/>
        <v>2160</v>
      </c>
      <c r="M10" s="4">
        <v>333</v>
      </c>
      <c r="N10" s="4">
        <f t="shared" si="2"/>
        <v>1827</v>
      </c>
      <c r="Q10" s="4"/>
      <c r="W10" s="4"/>
    </row>
    <row r="11" spans="1:25">
      <c r="A11" s="4" t="s">
        <v>20</v>
      </c>
      <c r="B11" s="4" t="s">
        <v>16</v>
      </c>
      <c r="C11" s="4" t="s">
        <v>17</v>
      </c>
      <c r="D11" s="4" t="s">
        <v>22</v>
      </c>
      <c r="E11">
        <v>2000</v>
      </c>
      <c r="F11" s="4">
        <v>200</v>
      </c>
      <c r="G11" s="4">
        <v>500</v>
      </c>
      <c r="H11" s="4">
        <v>50</v>
      </c>
      <c r="I11" s="4">
        <v>400</v>
      </c>
      <c r="J11" s="4">
        <v>300</v>
      </c>
      <c r="K11" s="4">
        <f t="shared" si="1"/>
        <v>2400</v>
      </c>
      <c r="L11" s="4">
        <f t="shared" si="0"/>
        <v>2400</v>
      </c>
      <c r="M11" s="4">
        <v>370</v>
      </c>
      <c r="N11" s="4">
        <f t="shared" si="2"/>
        <v>2030</v>
      </c>
      <c r="Q11" s="4"/>
      <c r="W11" s="4"/>
    </row>
    <row r="12" spans="1:25">
      <c r="A12" s="4" t="s">
        <v>21</v>
      </c>
      <c r="B12" s="4" t="s">
        <v>16</v>
      </c>
      <c r="C12" s="4" t="s">
        <v>17</v>
      </c>
      <c r="D12" s="4" t="s">
        <v>22</v>
      </c>
      <c r="E12">
        <v>800</v>
      </c>
      <c r="F12" s="4">
        <v>200</v>
      </c>
      <c r="G12" s="4">
        <v>500</v>
      </c>
      <c r="H12" s="4">
        <v>50</v>
      </c>
      <c r="I12" s="4">
        <v>400</v>
      </c>
      <c r="J12" s="4">
        <v>300</v>
      </c>
      <c r="K12" s="4">
        <f t="shared" si="1"/>
        <v>960</v>
      </c>
      <c r="L12" s="6">
        <f t="shared" si="0"/>
        <v>960</v>
      </c>
      <c r="M12" s="6">
        <v>148</v>
      </c>
      <c r="N12" s="4">
        <f t="shared" si="2"/>
        <v>812</v>
      </c>
      <c r="Q12" s="6"/>
      <c r="W12" s="4"/>
    </row>
    <row r="13" spans="1:25">
      <c r="A13" s="4" t="s">
        <v>19</v>
      </c>
      <c r="B13" s="4" t="s">
        <v>16</v>
      </c>
      <c r="C13" s="4" t="s">
        <v>17</v>
      </c>
      <c r="D13" s="4" t="s">
        <v>18</v>
      </c>
      <c r="E13">
        <v>850</v>
      </c>
      <c r="F13" s="4">
        <v>200</v>
      </c>
      <c r="G13" s="4">
        <v>500</v>
      </c>
      <c r="H13" s="4">
        <v>50</v>
      </c>
      <c r="I13" s="4">
        <v>400</v>
      </c>
      <c r="J13" s="4">
        <v>300</v>
      </c>
      <c r="K13" s="4">
        <f t="shared" si="1"/>
        <v>1020</v>
      </c>
      <c r="L13" s="4">
        <f t="shared" si="0"/>
        <v>1020</v>
      </c>
      <c r="M13" s="4">
        <v>593</v>
      </c>
      <c r="N13" s="4">
        <f t="shared" si="2"/>
        <v>427</v>
      </c>
      <c r="Q13" s="4"/>
      <c r="W13" s="4"/>
    </row>
    <row r="14" spans="1:25">
      <c r="A14" s="4" t="s">
        <v>20</v>
      </c>
      <c r="B14" s="4" t="s">
        <v>16</v>
      </c>
      <c r="C14" s="4" t="s">
        <v>17</v>
      </c>
      <c r="D14" s="4" t="s">
        <v>27</v>
      </c>
      <c r="E14">
        <v>1200</v>
      </c>
      <c r="F14" s="4">
        <v>200</v>
      </c>
      <c r="G14" s="4">
        <v>500</v>
      </c>
      <c r="H14" s="4">
        <v>50</v>
      </c>
      <c r="I14" s="4">
        <v>400</v>
      </c>
      <c r="J14" s="4">
        <v>300</v>
      </c>
      <c r="K14" s="4">
        <f t="shared" si="1"/>
        <v>1440</v>
      </c>
      <c r="L14" s="4">
        <f t="shared" si="0"/>
        <v>1440</v>
      </c>
      <c r="M14" s="4">
        <v>648</v>
      </c>
      <c r="N14" s="4">
        <f t="shared" si="2"/>
        <v>792</v>
      </c>
      <c r="Q14" s="4"/>
      <c r="W14" s="4"/>
    </row>
    <row r="15" spans="1:25">
      <c r="A15" s="4" t="s">
        <v>21</v>
      </c>
      <c r="B15" s="4" t="s">
        <v>16</v>
      </c>
      <c r="C15" s="4" t="s">
        <v>17</v>
      </c>
      <c r="D15" s="4" t="s">
        <v>18</v>
      </c>
      <c r="E15">
        <v>1300</v>
      </c>
      <c r="F15" s="4">
        <v>200</v>
      </c>
      <c r="G15" s="4">
        <v>500</v>
      </c>
      <c r="H15" s="4">
        <v>50</v>
      </c>
      <c r="I15" s="4">
        <v>400</v>
      </c>
      <c r="J15" s="4">
        <v>300</v>
      </c>
      <c r="K15" s="4">
        <f t="shared" si="1"/>
        <v>1560</v>
      </c>
      <c r="L15" s="4">
        <f t="shared" si="0"/>
        <v>1560</v>
      </c>
      <c r="M15" s="4">
        <v>906</v>
      </c>
      <c r="N15" s="4">
        <f t="shared" si="2"/>
        <v>654</v>
      </c>
      <c r="Q15" s="4"/>
      <c r="W15" s="4"/>
    </row>
    <row r="16" spans="1:25">
      <c r="A16" s="4" t="s">
        <v>19</v>
      </c>
      <c r="B16" s="4" t="s">
        <v>28</v>
      </c>
      <c r="C16" s="4" t="s">
        <v>30</v>
      </c>
      <c r="D16" s="4" t="s">
        <v>27</v>
      </c>
      <c r="E16">
        <v>1300</v>
      </c>
      <c r="F16" s="4">
        <v>200</v>
      </c>
      <c r="G16" s="4">
        <v>500</v>
      </c>
      <c r="H16" s="4">
        <v>50</v>
      </c>
      <c r="I16" s="4">
        <v>400</v>
      </c>
      <c r="J16" s="4">
        <v>300</v>
      </c>
      <c r="K16">
        <f t="shared" si="1"/>
        <v>1560</v>
      </c>
      <c r="L16" s="4">
        <f t="shared" si="0"/>
        <v>1560</v>
      </c>
      <c r="M16" s="4">
        <v>626</v>
      </c>
      <c r="N16" s="4">
        <f t="shared" si="2"/>
        <v>934</v>
      </c>
      <c r="Q16" s="4"/>
      <c r="W16" s="4"/>
    </row>
    <row r="17" spans="1:19">
      <c r="A17" s="4" t="s">
        <v>20</v>
      </c>
      <c r="B17" s="4" t="s">
        <v>28</v>
      </c>
      <c r="C17" s="4" t="s">
        <v>30</v>
      </c>
      <c r="D17" s="4" t="s">
        <v>27</v>
      </c>
      <c r="E17">
        <v>1200</v>
      </c>
      <c r="F17" s="4">
        <v>200</v>
      </c>
      <c r="G17" s="4">
        <v>500</v>
      </c>
      <c r="H17" s="4">
        <v>50</v>
      </c>
      <c r="I17" s="4">
        <v>400</v>
      </c>
      <c r="J17" s="4">
        <v>300</v>
      </c>
      <c r="K17">
        <f t="shared" si="1"/>
        <v>1440</v>
      </c>
      <c r="L17" s="4">
        <f t="shared" si="0"/>
        <v>1440</v>
      </c>
      <c r="M17" s="4">
        <v>578</v>
      </c>
      <c r="N17" s="4">
        <f t="shared" si="2"/>
        <v>862</v>
      </c>
      <c r="Q17" s="4"/>
    </row>
    <row r="18" spans="1:19">
      <c r="A18" s="4" t="s">
        <v>21</v>
      </c>
      <c r="B18" s="4" t="s">
        <v>28</v>
      </c>
      <c r="C18" s="4" t="s">
        <v>30</v>
      </c>
      <c r="D18" s="4" t="s">
        <v>27</v>
      </c>
      <c r="E18">
        <v>850</v>
      </c>
      <c r="F18" s="4">
        <v>200</v>
      </c>
      <c r="G18" s="4">
        <v>500</v>
      </c>
      <c r="H18" s="4">
        <v>50</v>
      </c>
      <c r="I18" s="4">
        <v>400</v>
      </c>
      <c r="J18" s="4">
        <v>300</v>
      </c>
      <c r="K18">
        <f t="shared" si="1"/>
        <v>1020</v>
      </c>
      <c r="L18" s="4">
        <f t="shared" si="0"/>
        <v>1020</v>
      </c>
      <c r="M18" s="4">
        <v>409</v>
      </c>
      <c r="N18" s="4">
        <f t="shared" si="2"/>
        <v>611</v>
      </c>
      <c r="Q18" s="4"/>
    </row>
    <row r="19" spans="1:19">
      <c r="A19" s="4" t="s">
        <v>19</v>
      </c>
      <c r="B19" s="4" t="s">
        <v>28</v>
      </c>
      <c r="C19" s="4" t="s">
        <v>30</v>
      </c>
      <c r="D19" s="4" t="s">
        <v>22</v>
      </c>
      <c r="E19">
        <v>800</v>
      </c>
      <c r="F19" s="4">
        <v>200</v>
      </c>
      <c r="G19" s="4">
        <v>500</v>
      </c>
      <c r="H19" s="4">
        <v>50</v>
      </c>
      <c r="I19" s="4">
        <v>400</v>
      </c>
      <c r="J19" s="4">
        <v>300</v>
      </c>
      <c r="K19">
        <f t="shared" si="1"/>
        <v>960</v>
      </c>
      <c r="L19" s="4">
        <f t="shared" si="0"/>
        <v>960</v>
      </c>
      <c r="M19" s="4">
        <v>148</v>
      </c>
      <c r="N19" s="4">
        <f t="shared" si="2"/>
        <v>812</v>
      </c>
      <c r="O19"/>
      <c r="Q19" s="4"/>
      <c r="R19" s="4"/>
      <c r="S19"/>
    </row>
    <row r="20" spans="1:19">
      <c r="A20" s="4" t="s">
        <v>20</v>
      </c>
      <c r="B20" s="4" t="s">
        <v>28</v>
      </c>
      <c r="C20" s="4" t="s">
        <v>30</v>
      </c>
      <c r="D20" s="4" t="s">
        <v>22</v>
      </c>
      <c r="E20">
        <v>2000</v>
      </c>
      <c r="F20" s="4">
        <v>200</v>
      </c>
      <c r="G20" s="4">
        <v>500</v>
      </c>
      <c r="H20" s="4">
        <v>50</v>
      </c>
      <c r="I20" s="4">
        <v>400</v>
      </c>
      <c r="J20" s="4">
        <v>300</v>
      </c>
      <c r="K20">
        <f t="shared" si="1"/>
        <v>2400</v>
      </c>
      <c r="L20">
        <f t="shared" si="0"/>
        <v>2400</v>
      </c>
      <c r="M20" s="4">
        <v>370</v>
      </c>
      <c r="N20" s="4">
        <f t="shared" si="2"/>
        <v>2030</v>
      </c>
      <c r="Q20" s="4"/>
    </row>
    <row r="21" spans="1:19">
      <c r="A21" s="4" t="s">
        <v>21</v>
      </c>
      <c r="B21" s="4" t="s">
        <v>28</v>
      </c>
      <c r="C21" s="4" t="s">
        <v>30</v>
      </c>
      <c r="D21" s="4" t="s">
        <v>22</v>
      </c>
      <c r="E21">
        <v>1800</v>
      </c>
      <c r="F21" s="4">
        <v>200</v>
      </c>
      <c r="G21" s="4">
        <v>500</v>
      </c>
      <c r="H21" s="4">
        <v>50</v>
      </c>
      <c r="I21" s="4">
        <v>400</v>
      </c>
      <c r="J21" s="4">
        <v>300</v>
      </c>
      <c r="K21">
        <f t="shared" si="1"/>
        <v>2160</v>
      </c>
      <c r="L21">
        <f t="shared" si="0"/>
        <v>2160</v>
      </c>
      <c r="M21" s="4">
        <v>333</v>
      </c>
      <c r="N21" s="4">
        <f t="shared" si="2"/>
        <v>1827</v>
      </c>
      <c r="Q21" s="4"/>
    </row>
    <row r="22" spans="1:19">
      <c r="A22" s="4" t="s">
        <v>19</v>
      </c>
      <c r="B22" s="4" t="s">
        <v>28</v>
      </c>
      <c r="C22" s="4" t="s">
        <v>30</v>
      </c>
      <c r="D22" s="4" t="s">
        <v>18</v>
      </c>
      <c r="E22">
        <v>1500</v>
      </c>
      <c r="F22" s="4">
        <v>200</v>
      </c>
      <c r="G22" s="4">
        <v>500</v>
      </c>
      <c r="H22" s="4">
        <v>50</v>
      </c>
      <c r="I22" s="4">
        <v>400</v>
      </c>
      <c r="J22" s="4">
        <v>300</v>
      </c>
      <c r="K22">
        <f t="shared" si="1"/>
        <v>1800</v>
      </c>
      <c r="L22">
        <f t="shared" si="0"/>
        <v>1800</v>
      </c>
      <c r="M22" s="4">
        <v>900</v>
      </c>
      <c r="N22" s="4">
        <f t="shared" si="2"/>
        <v>900</v>
      </c>
      <c r="Q22" s="4"/>
    </row>
    <row r="23" spans="1:19">
      <c r="A23" s="4" t="s">
        <v>20</v>
      </c>
      <c r="B23" s="4" t="s">
        <v>28</v>
      </c>
      <c r="C23" s="4" t="s">
        <v>30</v>
      </c>
      <c r="D23" s="4" t="s">
        <v>27</v>
      </c>
      <c r="E23">
        <v>800</v>
      </c>
      <c r="F23" s="4">
        <v>200</v>
      </c>
      <c r="G23" s="4">
        <v>500</v>
      </c>
      <c r="H23" s="4">
        <v>50</v>
      </c>
      <c r="I23" s="4">
        <v>400</v>
      </c>
      <c r="J23" s="4">
        <v>300</v>
      </c>
      <c r="K23">
        <f t="shared" si="1"/>
        <v>960</v>
      </c>
      <c r="L23">
        <f t="shared" si="0"/>
        <v>960</v>
      </c>
      <c r="M23" s="4">
        <v>385</v>
      </c>
      <c r="N23" s="4">
        <f t="shared" si="2"/>
        <v>575</v>
      </c>
      <c r="Q23" s="4"/>
    </row>
    <row r="24" spans="1:19">
      <c r="A24" s="4" t="s">
        <v>21</v>
      </c>
      <c r="B24" s="4" t="s">
        <v>28</v>
      </c>
      <c r="C24" s="4" t="s">
        <v>30</v>
      </c>
      <c r="D24" s="4" t="s">
        <v>18</v>
      </c>
      <c r="E24">
        <v>1000</v>
      </c>
      <c r="F24" s="4">
        <v>200</v>
      </c>
      <c r="G24" s="4">
        <v>500</v>
      </c>
      <c r="H24" s="4">
        <v>50</v>
      </c>
      <c r="I24" s="4">
        <v>400</v>
      </c>
      <c r="J24" s="4">
        <v>300</v>
      </c>
      <c r="K24">
        <f t="shared" si="1"/>
        <v>1200</v>
      </c>
      <c r="L24">
        <f t="shared" si="0"/>
        <v>1200</v>
      </c>
      <c r="M24" s="4">
        <v>600</v>
      </c>
      <c r="N24" s="4">
        <f t="shared" si="2"/>
        <v>600</v>
      </c>
      <c r="Q24" s="4"/>
    </row>
    <row r="25" spans="1:19">
      <c r="A25" s="4" t="s">
        <v>21</v>
      </c>
      <c r="B25" s="4" t="s">
        <v>28</v>
      </c>
      <c r="C25" s="4" t="s">
        <v>30</v>
      </c>
      <c r="D25" s="4" t="s">
        <v>22</v>
      </c>
      <c r="E25" s="4">
        <v>800</v>
      </c>
      <c r="F25" s="4">
        <v>200</v>
      </c>
      <c r="G25" s="4">
        <v>500</v>
      </c>
      <c r="H25" s="4">
        <v>50</v>
      </c>
      <c r="I25" s="4">
        <v>400</v>
      </c>
      <c r="J25" s="4">
        <v>300</v>
      </c>
      <c r="K25" s="4">
        <f t="shared" si="1"/>
        <v>960</v>
      </c>
      <c r="L25" s="4">
        <f t="shared" si="0"/>
        <v>960</v>
      </c>
      <c r="M25" s="4">
        <v>148</v>
      </c>
      <c r="N25" s="4">
        <f t="shared" si="2"/>
        <v>812</v>
      </c>
      <c r="Q25" s="4"/>
    </row>
    <row r="26" spans="1:19">
      <c r="A26" s="4"/>
      <c r="B26" s="4"/>
      <c r="C26" s="4"/>
      <c r="D26" s="4"/>
      <c r="E26" s="4"/>
      <c r="K26" s="4"/>
      <c r="L26" s="4"/>
      <c r="N26" s="4"/>
      <c r="Q26" s="4"/>
    </row>
    <row r="27" spans="1:19">
      <c r="A27" s="4"/>
      <c r="B27" s="4"/>
      <c r="C27" s="4"/>
      <c r="D27" s="4"/>
      <c r="E27" s="4"/>
      <c r="K27" s="4"/>
      <c r="L27" s="4"/>
      <c r="N27" s="4"/>
      <c r="Q27" s="4"/>
    </row>
    <row r="28" spans="1:19">
      <c r="A28" s="4"/>
      <c r="B28" s="4"/>
      <c r="C28" s="4"/>
      <c r="D28" s="4"/>
      <c r="E28" s="4"/>
      <c r="K28" s="4"/>
      <c r="L28" s="4"/>
      <c r="N28" s="4"/>
      <c r="Q28" s="4"/>
    </row>
    <row r="29" spans="1:19">
      <c r="A29" s="4"/>
      <c r="B29" s="4"/>
      <c r="C29" s="4"/>
      <c r="D29" s="4"/>
      <c r="E29" s="4"/>
      <c r="K29" s="4"/>
      <c r="L29" s="4"/>
      <c r="N29" s="4"/>
      <c r="Q29" s="4"/>
    </row>
    <row r="30" spans="1:19">
      <c r="A30" s="4"/>
      <c r="B30" s="4"/>
      <c r="C30" s="4"/>
      <c r="D30" s="4"/>
      <c r="E30" s="4"/>
      <c r="K30" s="4"/>
      <c r="L30" s="4"/>
      <c r="N30" s="4"/>
      <c r="Q30" s="4"/>
    </row>
    <row r="31" spans="1:19">
      <c r="E31" s="4"/>
      <c r="N31" s="4"/>
    </row>
    <row r="32" spans="1:19">
      <c r="E32" s="4"/>
      <c r="N32" s="4"/>
    </row>
    <row r="33" spans="5:14">
      <c r="E33" s="4"/>
      <c r="N33" s="4"/>
    </row>
    <row r="34" spans="5:14">
      <c r="E34" s="4"/>
      <c r="N34" s="4"/>
    </row>
    <row r="35" spans="5:14">
      <c r="E35" s="4"/>
      <c r="N35" s="4"/>
    </row>
    <row r="36" spans="5:14">
      <c r="E36" s="4"/>
      <c r="N36" s="4"/>
    </row>
    <row r="37" spans="5:14">
      <c r="E37" s="4"/>
      <c r="N37" s="4"/>
    </row>
    <row r="38" spans="5:14">
      <c r="E38" s="4"/>
      <c r="N38" s="4"/>
    </row>
    <row r="39" spans="5:14">
      <c r="E39" s="4"/>
      <c r="N39" s="4"/>
    </row>
    <row r="40" spans="5:14">
      <c r="E40" s="4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2"/>
  <sheetViews>
    <sheetView tabSelected="1" workbookViewId="0">
      <selection activeCell="J12" sqref="J12"/>
    </sheetView>
  </sheetViews>
  <sheetFormatPr defaultRowHeight="15"/>
  <cols>
    <col min="4" max="6" width="9.140625" style="4"/>
  </cols>
  <sheetData>
    <row r="1" spans="1:7">
      <c r="A1" s="4" t="s">
        <v>1</v>
      </c>
      <c r="B1" s="4" t="s">
        <v>2</v>
      </c>
      <c r="C1" s="4" t="s">
        <v>3</v>
      </c>
      <c r="D1" s="4" t="s">
        <v>23</v>
      </c>
      <c r="E1" s="4" t="s">
        <v>24</v>
      </c>
      <c r="F1" s="4" t="s">
        <v>25</v>
      </c>
      <c r="G1" t="s">
        <v>15</v>
      </c>
    </row>
    <row r="2" spans="1:7">
      <c r="A2" s="4" t="s">
        <v>16</v>
      </c>
      <c r="B2" s="4" t="s">
        <v>17</v>
      </c>
      <c r="C2" s="4" t="s">
        <v>27</v>
      </c>
      <c r="D2" s="4">
        <v>400</v>
      </c>
      <c r="E2" s="4">
        <v>600</v>
      </c>
      <c r="F2" s="4">
        <v>1000</v>
      </c>
      <c r="G2" s="4">
        <f>SUM(D2:F2)</f>
        <v>2000</v>
      </c>
    </row>
    <row r="3" spans="1:7">
      <c r="A3" s="4" t="s">
        <v>16</v>
      </c>
      <c r="B3" s="4" t="s">
        <v>17</v>
      </c>
      <c r="C3" s="4" t="s">
        <v>22</v>
      </c>
      <c r="D3" s="4">
        <v>200</v>
      </c>
      <c r="E3" s="4">
        <v>300</v>
      </c>
      <c r="F3" s="4">
        <v>500</v>
      </c>
      <c r="G3" s="4">
        <f>SUM(D3:F3)</f>
        <v>1000</v>
      </c>
    </row>
    <row r="4" spans="1:7">
      <c r="A4" s="4" t="s">
        <v>16</v>
      </c>
      <c r="B4" s="4" t="s">
        <v>17</v>
      </c>
      <c r="C4" s="4" t="s">
        <v>18</v>
      </c>
      <c r="D4" s="4">
        <v>400</v>
      </c>
      <c r="E4" s="4">
        <v>600</v>
      </c>
      <c r="F4" s="4">
        <v>500</v>
      </c>
      <c r="G4">
        <f>SUM(D4:F4)</f>
        <v>1500</v>
      </c>
    </row>
    <row r="5" spans="1:7">
      <c r="A5" s="4" t="s">
        <v>28</v>
      </c>
      <c r="B5" s="4" t="s">
        <v>30</v>
      </c>
      <c r="C5" s="4" t="s">
        <v>18</v>
      </c>
      <c r="G5">
        <v>1500</v>
      </c>
    </row>
    <row r="6" spans="1:7">
      <c r="A6" s="4" t="s">
        <v>28</v>
      </c>
      <c r="B6" s="4" t="s">
        <v>30</v>
      </c>
      <c r="C6" s="4" t="s">
        <v>22</v>
      </c>
      <c r="G6">
        <v>1000</v>
      </c>
    </row>
    <row r="7" spans="1:7">
      <c r="A7" s="4" t="s">
        <v>28</v>
      </c>
      <c r="B7" s="4" t="s">
        <v>30</v>
      </c>
      <c r="C7" s="4" t="s">
        <v>27</v>
      </c>
      <c r="G7">
        <v>2000</v>
      </c>
    </row>
    <row r="8" spans="1:7">
      <c r="A8" s="4"/>
      <c r="B8" s="4"/>
      <c r="C8" s="4"/>
      <c r="G8" s="4"/>
    </row>
    <row r="9" spans="1:7">
      <c r="A9" s="4"/>
      <c r="B9" s="4"/>
      <c r="C9" s="4"/>
      <c r="G9" s="4"/>
    </row>
    <row r="10" spans="1:7">
      <c r="A10" s="4"/>
      <c r="B10" s="4"/>
      <c r="C10" s="4"/>
      <c r="G10" s="4"/>
    </row>
    <row r="11" spans="1:7">
      <c r="A11" s="4"/>
      <c r="B11" s="4"/>
      <c r="C11" s="4"/>
      <c r="G11" s="4"/>
    </row>
    <row r="12" spans="1:7">
      <c r="A12" s="4"/>
      <c r="B12" s="4"/>
      <c r="C12" s="4"/>
      <c r="G12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Base</vt:lpstr>
      <vt:lpstr>Coverup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Karunambigai Narmadha</dc:creator>
  <cp:lastModifiedBy>ha ha</cp:lastModifiedBy>
  <dcterms:created xsi:type="dcterms:W3CDTF">2015-06-05T18:17:20Z</dcterms:created>
  <dcterms:modified xsi:type="dcterms:W3CDTF">2020-09-09T13:53:28Z</dcterms:modified>
</cp:coreProperties>
</file>